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nrech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<sst xmlns="http://schemas.openxmlformats.org/spreadsheetml/2006/main" count="38" uniqueCount="38">
  <si>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Notenrechner Fachfrau/Fachmann Apotheke EFZ</t>
  </si>
  <si>
    <t xml:space="preserve">Basis: QV Apotheke EFZ · Erfahrungs- und Prüfungsnoten</t>
  </si>
  <si>
    <t xml:space="preserve">Tragen Sie die Noten in die grünen Felder ein – Fachnoten, Gesamtnote und Bestehen werden automatisch berechnet.</t>
  </si>
  <si>
    <t xml:space="preserve">Noten je Semester / Kompetenznachweis</t>
  </si>
  <si>
    <t xml:space="preserve">Qualifikationsbereich / Position</t>
  </si>
  <si>
    <t xml:space="preserve">Prüfungs-note</t>
  </si>
  <si>
    <t xml:space="preserve">Ø / Note</t>
  </si>
  <si>
    <t xml:space="preserve">Gew.</t>
  </si>
  <si>
    <t xml:space="preserve">Fachnote</t>
  </si>
  <si>
    <t xml:space="preserve">Erfahrungsnote   ·   Gewicht 20 %</t>
  </si>
  <si>
    <t xml:space="preserve">   Schulische Erfahrungsnote   (Ø HKB A–E · Gewicht 0.7)</t>
  </si>
  <si>
    <t xml:space="preserve">HKB A – Beraten und Bedienen</t>
  </si>
  <si>
    <t xml:space="preserve">HKB B – Abgeben von Heilmitteln</t>
  </si>
  <si>
    <t xml:space="preserve">HKB C – Medizinische Abklärungen</t>
  </si>
  <si>
    <t xml:space="preserve">HKB D – Bewirtschaften</t>
  </si>
  <si>
    <t xml:space="preserve">HKB E – Administrative Arbeiten</t>
  </si>
  <si>
    <t xml:space="preserve">   → Schulische Erfahrungsnote</t>
  </si>
  <si>
    <t xml:space="preserve">Überbetriebliche Kurse (ÜK)  ·  Gewicht 0.3</t>
  </si>
  <si>
    <t xml:space="preserve">Fachnote Erfahrungsnote</t>
  </si>
  <si>
    <t xml:space="preserve">Allgemeinbildung   ·   Gewicht 20 %</t>
  </si>
  <si>
    <t xml:space="preserve">Erfahrungsnote ABU  ·  Ø Sem 1–5</t>
  </si>
  <si>
    <t xml:space="preserve">Vertiefungsarbeit  ·  Prüfungsnote</t>
  </si>
  <si>
    <t xml:space="preserve">Schlussprüfung ABU  ·  Prüfungsnote</t>
  </si>
  <si>
    <t xml:space="preserve">Fachnote Allgemeinbildung</t>
  </si>
  <si>
    <t xml:space="preserve">Berufskenntnisse   ·   Gewicht 20 %</t>
  </si>
  <si>
    <t xml:space="preserve">HKB A/B/C  ·  Prüfung · Gewicht 0.8</t>
  </si>
  <si>
    <t xml:space="preserve">HKB D/E  ·  Prüfung · Gewicht 0.2</t>
  </si>
  <si>
    <t xml:space="preserve">Fachnote Berufskenntnisse</t>
  </si>
  <si>
    <t xml:space="preserve">Praktische Arbeit   ·   Gewicht 40 %   ·   Fallnote (mind. 4.0)</t>
  </si>
  <si>
    <t xml:space="preserve">Praktische Arbeit  ·  Abschlussprüfung</t>
  </si>
  <si>
    <t xml:space="preserve">Fachnote Praktische Arbeit</t>
  </si>
  <si>
    <t xml:space="preserve">Gesamtnote</t>
  </si>
  <si>
    <t xml:space="preserve">Ergebnis</t>
  </si>
  <si>
    <t xml:space="preserve">Bestehenskriterien</t>
  </si>
  <si>
    <t xml:space="preserve">•  Die Gesamtnote beträgt mindestens 4.0</t>
  </si>
  <si>
    <t xml:space="preserve">•  Die Fachnote «Praktische Arbeit» beträgt mindestens 4.0</t>
  </si>
  <si>
    <t xml:space="preserve">•  Die Fachnote «Berufskenntnisse» beträgt mindestens 4.0</t>
  </si>
  <si>
    <t xml:space="preserve">HKV Aarau · realisiert mit Claude (Anthropic) · Design nach Jasmin Hürlimann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</si>
</sst>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E45"/>
      <name val="Aptos Narrow"/>
      <family val="0"/>
      <charset val="1"/>
    </font>
    <font>
      <sz val="10"/>
      <color rgb="FF5A6B7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0"/>
      <color rgb="FF183E45"/>
      <name val="Aptos Narrow"/>
      <family val="0"/>
      <charset val="1"/>
    </font>
    <font>
      <b val="true"/>
      <sz val="10"/>
      <color rgb="FF183E45"/>
      <name val="Aptos Narrow"/>
      <family val="0"/>
      <charset val="1"/>
    </font>
    <font>
      <b val="true"/>
      <sz val="11"/>
      <color rgb="FF183E45"/>
      <name val="Aptos Narrow"/>
      <family val="0"/>
      <charset val="1"/>
    </font>
    <font>
      <b val="true"/>
      <sz val="12"/>
      <color rgb="FF183E45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4"/>
      <color rgb="FF183E45"/>
      <name val="Aptos Narrow"/>
      <family val="0"/>
      <charset val="1"/>
    </font>
    <font>
      <sz val="8"/>
      <color rgb="FF9AA7AC"/>
      <name val="Aptos Narro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83E45"/>
        <bgColor rgb="FF003366"/>
      </patternFill>
    </fill>
    <fill>
      <patternFill patternType="solid">
        <fgColor rgb="FF2F5B64"/>
        <bgColor rgb="FF5A6B70"/>
      </patternFill>
    </fill>
    <fill>
      <patternFill patternType="solid">
        <fgColor rgb="FFCFE7BE"/>
        <bgColor rgb="FFF3E9CC"/>
      </patternFill>
    </fill>
    <fill>
      <patternFill patternType="solid">
        <fgColor rgb="FFEAEFF1"/>
        <bgColor rgb="FFF4F6F7"/>
      </patternFill>
    </fill>
    <fill>
      <patternFill patternType="solid">
        <fgColor rgb="FFF4F6F7"/>
        <bgColor rgb="FFEAEFF1"/>
      </patternFill>
    </fill>
    <fill>
      <patternFill patternType="solid">
        <fgColor rgb="FFF3E9CC"/>
        <bgColor rgb="FFEAEFF1"/>
      </patternFill>
    </fill>
    <fill>
      <patternFill patternType="solid">
        <fgColor rgb="FFFFFFFF"/>
        <bgColor rgb="FFF4F6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 diagonalUp="false" diagonalDown="false">
      <left/>
      <right style="thin">
        <color rgb="FFC4CDD0"/>
      </right>
      <top/>
      <bottom style="thin">
        <color rgb="FFC4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DD0"/>
      <rgbColor rgb="FF808080"/>
      <rgbColor rgb="FF9999FF"/>
      <rgbColor rgb="FF993366"/>
      <rgbColor rgb="FFF4F6F7"/>
      <rgbColor rgb="FFEA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BE"/>
      <rgbColor rgb="FFF3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C"/>
      <rgbColor rgb="FF003366"/>
      <rgbColor rgb="FF339966"/>
      <rgbColor rgb="FF003300"/>
      <rgbColor rgb="FF333300"/>
      <rgbColor rgb="FF993300"/>
      <rgbColor rgb="FF993366"/>
      <rgbColor rgb="FF2F5B64"/>
      <rgbColor rgb="FF183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72000</xdr:colOff>
      <xdr:row>0</xdr:row>
      <xdr:rowOff>456840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4800" y="0"/>
          <a:ext cx="33145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1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6"/>
    <col collapsed="false" customWidth="true" hidden="false" outlineLevel="0" max="8" min="3" style="0" width="5.4"/>
    <col collapsed="false" customWidth="true" hidden="false" outlineLevel="0" max="9" min="9" style="0" width="9"/>
    <col collapsed="false" customWidth="true" hidden="false" outlineLevel="0" max="10" min="10" style="0" width="7.5"/>
    <col collapsed="false" customWidth="true" hidden="false" outlineLevel="0" max="11" min="11" style="0" width="6.51"/>
    <col collapsed="false" customWidth="true" hidden="false" outlineLevel="0" max="12" min="12" style="0" width="9.51"/>
  </cols>
  <sheetData>
    <row r="1" customFormat="false" ht="5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B6" s="5" t="s">
        <v>4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 t="n">
        <v>6</v>
      </c>
      <c r="I6" s="5" t="s">
        <v>5</v>
      </c>
      <c r="J6" s="5" t="s">
        <v>6</v>
      </c>
      <c r="K6" s="5" t="s">
        <v>7</v>
      </c>
      <c r="L6" s="5" t="s">
        <v>8</v>
      </c>
    </row>
    <row r="7" customFormat="false" ht="21.75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15" hidden="false" customHeight="false" outlineLevel="0" collapsed="false">
      <c r="B8" s="8" t="s">
        <v>10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customFormat="false" ht="15" hidden="false" customHeight="false" outlineLevel="0" collapsed="false">
      <c r="B9" s="9" t="s">
        <v>11</v>
      </c>
      <c r="C9" s="10"/>
      <c r="D9" s="10"/>
      <c r="E9" s="10"/>
      <c r="F9" s="10"/>
      <c r="G9" s="10"/>
      <c r="H9" s="10"/>
      <c r="J9" s="11" t="str">
        <f aca="false">IF(COUNT(C9,D9,E9,F9,G9,H9)=0,"",ROUND(AVERAGE(C9,D9,E9,F9,G9,H9)*2,0)/2)</f>
        <v/>
      </c>
      <c r="K9" s="12" t="n">
        <v>0.2</v>
      </c>
    </row>
    <row r="10" customFormat="false" ht="15" hidden="false" customHeight="false" outlineLevel="0" collapsed="false">
      <c r="B10" s="9" t="s">
        <v>12</v>
      </c>
      <c r="C10" s="10"/>
      <c r="D10" s="10"/>
      <c r="E10" s="10"/>
      <c r="F10" s="10"/>
      <c r="G10" s="10"/>
      <c r="H10" s="10"/>
      <c r="J10" s="11" t="str">
        <f aca="false">IF(COUNT(C10,D10,E10,F10,G10,H10)=0,"",ROUND(AVERAGE(C10,D10,E10,F10,G10,H10)*2,0)/2)</f>
        <v/>
      </c>
      <c r="K10" s="12" t="n">
        <v>0.2</v>
      </c>
    </row>
    <row r="11" customFormat="false" ht="15" hidden="false" customHeight="false" outlineLevel="0" collapsed="false">
      <c r="B11" s="9" t="s">
        <v>13</v>
      </c>
      <c r="C11" s="10"/>
      <c r="D11" s="10"/>
      <c r="E11" s="10"/>
      <c r="F11" s="10"/>
      <c r="G11" s="10"/>
      <c r="H11" s="10"/>
      <c r="J11" s="11" t="str">
        <f aca="false">IF(COUNT(C11,D11,E11,F11,G11,H11)=0,"",ROUND(AVERAGE(C11,D11,E11,F11,G11,H11)*2,0)/2)</f>
        <v/>
      </c>
      <c r="K11" s="12" t="n">
        <v>0.2</v>
      </c>
    </row>
    <row r="12" customFormat="false" ht="15" hidden="false" customHeight="false" outlineLevel="0" collapsed="false">
      <c r="B12" s="9" t="s">
        <v>14</v>
      </c>
      <c r="C12" s="10"/>
      <c r="D12" s="10"/>
      <c r="E12" s="13"/>
      <c r="F12" s="13"/>
      <c r="G12" s="13"/>
      <c r="H12" s="13"/>
      <c r="J12" s="11" t="str">
        <f aca="false">IF(COUNT(C12,D12)=0,"",ROUND(AVERAGE(C12,D12)*2,0)/2)</f>
        <v/>
      </c>
      <c r="K12" s="12" t="n">
        <v>0.2</v>
      </c>
    </row>
    <row r="13" customFormat="false" ht="15" hidden="false" customHeight="false" outlineLevel="0" collapsed="false">
      <c r="B13" s="9" t="s">
        <v>15</v>
      </c>
      <c r="C13" s="13"/>
      <c r="D13" s="10"/>
      <c r="E13" s="10"/>
      <c r="F13" s="13"/>
      <c r="G13" s="13"/>
      <c r="H13" s="13"/>
      <c r="J13" s="11" t="str">
        <f aca="false">IF(COUNT(D13,E13)=0,"",ROUND(AVERAGE(D13,E13)*2,0)/2)</f>
        <v/>
      </c>
      <c r="K13" s="12" t="n">
        <v>0.2</v>
      </c>
    </row>
    <row r="14" customFormat="false" ht="15" hidden="false" customHeight="false" outlineLevel="0" collapsed="false">
      <c r="B14" s="14" t="s">
        <v>16</v>
      </c>
      <c r="C14" s="13"/>
      <c r="D14" s="13"/>
      <c r="E14" s="13"/>
      <c r="F14" s="13"/>
      <c r="G14" s="13"/>
      <c r="H14" s="13"/>
      <c r="J14" s="15" t="str">
        <f aca="false">IF(COUNT(J9,J10,J11,J12,J13)=0,"",ROUND((AVERAGE(J9,J10,J11,J12,J13))*2,0)/2)</f>
        <v/>
      </c>
      <c r="K14" s="12" t="n">
        <v>0.7</v>
      </c>
    </row>
    <row r="15" customFormat="false" ht="15" hidden="false" customHeight="false" outlineLevel="0" collapsed="false">
      <c r="B15" s="9" t="s">
        <v>17</v>
      </c>
      <c r="C15" s="13"/>
      <c r="D15" s="10"/>
      <c r="E15" s="10"/>
      <c r="F15" s="13"/>
      <c r="G15" s="10"/>
      <c r="H15" s="13"/>
      <c r="J15" s="11" t="str">
        <f aca="false">IF(COUNT(D15,E15,G15)=0,"",ROUND(AVERAGE(D15,E15,G15)*2,0)/2)</f>
        <v/>
      </c>
      <c r="K15" s="12" t="n">
        <v>0.3</v>
      </c>
    </row>
    <row r="16" customFormat="false" ht="15" hidden="false" customHeight="false" outlineLevel="0" collapsed="false">
      <c r="B16" s="16" t="s">
        <v>18</v>
      </c>
      <c r="C16" s="17"/>
      <c r="D16" s="17"/>
      <c r="E16" s="17"/>
      <c r="F16" s="17"/>
      <c r="G16" s="17"/>
      <c r="H16" s="17"/>
      <c r="I16" s="17"/>
      <c r="J16" s="17"/>
      <c r="K16" s="18" t="n">
        <v>0.2</v>
      </c>
      <c r="L16" s="19" t="str">
        <f aca="false">IF(COUNT(J14,J15)&lt;2,"",ROUND((0.7*J14+0.3*J15)*2,0)/2)</f>
        <v/>
      </c>
    </row>
    <row r="18" customFormat="false" ht="21.75" hidden="false" customHeight="true" outlineLevel="0" collapsed="false">
      <c r="B18" s="7" t="s">
        <v>19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customFormat="false" ht="15" hidden="false" customHeight="false" outlineLevel="0" collapsed="false">
      <c r="B19" s="9" t="s">
        <v>20</v>
      </c>
      <c r="C19" s="10"/>
      <c r="D19" s="10"/>
      <c r="E19" s="10"/>
      <c r="F19" s="10"/>
      <c r="G19" s="10"/>
      <c r="H19" s="13"/>
      <c r="J19" s="11" t="str">
        <f aca="false">IF(COUNT(C19,D19,E19,F19,G19)=0,"",ROUND(AVERAGE(C19,D19,E19,F19,G19)*2,0)/2)</f>
        <v/>
      </c>
      <c r="K19" s="12" t="n">
        <v>0.333333333333333</v>
      </c>
    </row>
    <row r="20" customFormat="false" ht="15" hidden="false" customHeight="false" outlineLevel="0" collapsed="false">
      <c r="B20" s="9" t="s">
        <v>21</v>
      </c>
      <c r="C20" s="13"/>
      <c r="D20" s="13"/>
      <c r="E20" s="13"/>
      <c r="F20" s="13"/>
      <c r="G20" s="13"/>
      <c r="H20" s="13"/>
      <c r="I20" s="10"/>
      <c r="J20" s="11" t="str">
        <f aca="false">IF(I20="","",I20)</f>
        <v/>
      </c>
      <c r="K20" s="12" t="n">
        <v>0.333333333333333</v>
      </c>
    </row>
    <row r="21" customFormat="false" ht="15" hidden="false" customHeight="false" outlineLevel="0" collapsed="false">
      <c r="B21" s="9" t="s">
        <v>22</v>
      </c>
      <c r="C21" s="13"/>
      <c r="D21" s="13"/>
      <c r="E21" s="13"/>
      <c r="F21" s="13"/>
      <c r="G21" s="13"/>
      <c r="H21" s="13"/>
      <c r="I21" s="10"/>
      <c r="J21" s="11" t="str">
        <f aca="false">IF(I21="","",I21)</f>
        <v/>
      </c>
      <c r="K21" s="12" t="n">
        <v>0.333333333333333</v>
      </c>
    </row>
    <row r="22" customFormat="false" ht="15" hidden="false" customHeight="false" outlineLevel="0" collapsed="false">
      <c r="B22" s="16" t="s">
        <v>23</v>
      </c>
      <c r="C22" s="17"/>
      <c r="D22" s="17"/>
      <c r="E22" s="17"/>
      <c r="F22" s="17"/>
      <c r="G22" s="17"/>
      <c r="H22" s="17"/>
      <c r="I22" s="17"/>
      <c r="J22" s="17"/>
      <c r="K22" s="18" t="n">
        <v>0.2</v>
      </c>
      <c r="L22" s="19" t="str">
        <f aca="false">IF(COUNT(J19,J20,J21)&lt;3,"",ROUND((0.333333333333333*J19+0.333333333333333*J20+0.333333333333333*J21)*2,0)/2)</f>
        <v/>
      </c>
    </row>
    <row r="24" customFormat="false" ht="21.75" hidden="false" customHeight="true" outlineLevel="0" collapsed="false">
      <c r="B24" s="7" t="s">
        <v>24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5" customFormat="false" ht="15" hidden="false" customHeight="false" outlineLevel="0" collapsed="false">
      <c r="B25" s="9" t="s">
        <v>25</v>
      </c>
      <c r="C25" s="13"/>
      <c r="D25" s="13"/>
      <c r="E25" s="13"/>
      <c r="F25" s="13"/>
      <c r="G25" s="13"/>
      <c r="H25" s="13"/>
      <c r="I25" s="10"/>
      <c r="J25" s="11" t="str">
        <f aca="false">IF(I25="","",I25)</f>
        <v/>
      </c>
      <c r="K25" s="12" t="n">
        <v>0.8</v>
      </c>
    </row>
    <row r="26" customFormat="false" ht="15" hidden="false" customHeight="false" outlineLevel="0" collapsed="false">
      <c r="B26" s="9" t="s">
        <v>26</v>
      </c>
      <c r="C26" s="13"/>
      <c r="D26" s="13"/>
      <c r="E26" s="13"/>
      <c r="F26" s="13"/>
      <c r="G26" s="13"/>
      <c r="H26" s="13"/>
      <c r="I26" s="10"/>
      <c r="J26" s="11" t="str">
        <f aca="false">IF(I26="","",I26)</f>
        <v/>
      </c>
      <c r="K26" s="12" t="n">
        <v>0.2</v>
      </c>
    </row>
    <row r="27" customFormat="false" ht="15" hidden="false" customHeight="false" outlineLevel="0" collapsed="false">
      <c r="B27" s="16" t="s">
        <v>27</v>
      </c>
      <c r="C27" s="17"/>
      <c r="D27" s="17"/>
      <c r="E27" s="17"/>
      <c r="F27" s="17"/>
      <c r="G27" s="17"/>
      <c r="H27" s="17"/>
      <c r="I27" s="17"/>
      <c r="J27" s="17"/>
      <c r="K27" s="18" t="n">
        <v>0.2</v>
      </c>
      <c r="L27" s="19" t="str">
        <f aca="false">IF(COUNT(J25,J26)&lt;2,"",ROUND((0.8*J25+0.2*J26)*2,0)/2)</f>
        <v/>
      </c>
    </row>
    <row r="29" customFormat="false" ht="21.75" hidden="false" customHeight="true" outlineLevel="0" collapsed="false">
      <c r="B29" s="7" t="s">
        <v>28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customFormat="false" ht="15" hidden="false" customHeight="false" outlineLevel="0" collapsed="false">
      <c r="B30" s="9" t="s">
        <v>29</v>
      </c>
      <c r="C30" s="13"/>
      <c r="D30" s="13"/>
      <c r="E30" s="13"/>
      <c r="F30" s="13"/>
      <c r="G30" s="13"/>
      <c r="H30" s="13"/>
      <c r="I30" s="10"/>
      <c r="J30" s="11" t="str">
        <f aca="false">IF(I30="","",I30)</f>
        <v/>
      </c>
      <c r="K30" s="12" t="n">
        <v>1</v>
      </c>
    </row>
    <row r="31" customFormat="false" ht="15" hidden="false" customHeight="false" outlineLevel="0" collapsed="false">
      <c r="B31" s="16" t="s">
        <v>30</v>
      </c>
      <c r="C31" s="17"/>
      <c r="D31" s="17"/>
      <c r="E31" s="17"/>
      <c r="F31" s="17"/>
      <c r="G31" s="17"/>
      <c r="H31" s="17"/>
      <c r="I31" s="17"/>
      <c r="J31" s="17"/>
      <c r="K31" s="18" t="n">
        <v>0.4</v>
      </c>
      <c r="L31" s="19" t="str">
        <f aca="false">IF(COUNT(J30)&lt;1,"",ROUND((1*J30)*2,0)/2)</f>
        <v/>
      </c>
    </row>
    <row r="33" customFormat="false" ht="17.35" hidden="false" customHeight="false" outlineLevel="0" collapsed="false">
      <c r="B33" s="20" t="s">
        <v>31</v>
      </c>
      <c r="C33" s="20"/>
      <c r="D33" s="20"/>
      <c r="E33" s="20"/>
      <c r="F33" s="20"/>
      <c r="G33" s="20"/>
      <c r="H33" s="20"/>
      <c r="I33" s="20"/>
      <c r="J33" s="20"/>
      <c r="K33" s="20"/>
      <c r="L33" s="21" t="str">
        <f aca="false">IF(COUNT(L16,L22,L27,L31)&lt;4,"",ROUND(K16*L16+K22*L22+K27*L27+K31*L31,1))</f>
        <v/>
      </c>
    </row>
    <row r="34" customFormat="false" ht="15" hidden="false" customHeight="false" outlineLevel="0" collapsed="false">
      <c r="B34" s="22" t="s">
        <v>32</v>
      </c>
      <c r="C34" s="22"/>
      <c r="D34" s="22"/>
      <c r="E34" s="22"/>
      <c r="F34" s="22"/>
      <c r="G34" s="22"/>
      <c r="H34" s="22"/>
      <c r="I34" s="22"/>
      <c r="J34" s="22"/>
      <c r="K34" s="22"/>
      <c r="L34" s="23" t="str">
        <f aca="false">IF(L33="","",IF(AND(L33&gt;=4,L31&gt;=4,L27&gt;=4),"BESTANDEN","NICHT BESTANDEN"))</f>
        <v/>
      </c>
    </row>
    <row r="36" customFormat="false" ht="15" hidden="false" customHeight="false" outlineLevel="0" collapsed="false">
      <c r="B36" s="24" t="s">
        <v>33</v>
      </c>
    </row>
    <row r="37" customFormat="false" ht="15" hidden="false" customHeight="false" outlineLevel="0" collapsed="false">
      <c r="B37" s="25" t="s">
        <v>34</v>
      </c>
    </row>
    <row r="38" customFormat="false" ht="23.85" hidden="false" customHeight="false" outlineLevel="0" collapsed="false">
      <c r="B38" s="25" t="s">
        <v>35</v>
      </c>
    </row>
    <row r="39" customFormat="false" ht="23.85" hidden="false" customHeight="false" outlineLevel="0" collapsed="false">
      <c r="B39" s="25" t="s">
        <v>36</v>
      </c>
    </row>
    <row r="41" customFormat="false" ht="15" hidden="false" customHeight="true" outlineLevel="0" collapsed="false">
      <c r="B41" s="26" t="s">
        <v>37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</row>
  </sheetData>
  <mergeCells count="16">
    <mergeCell ref="C1:L1"/>
    <mergeCell ref="C2:L2"/>
    <mergeCell ref="B4:L4"/>
    <mergeCell ref="C5:H5"/>
    <mergeCell ref="B7:L7"/>
    <mergeCell ref="B8:L8"/>
    <mergeCell ref="C16:J16"/>
    <mergeCell ref="B18:L18"/>
    <mergeCell ref="C22:J22"/>
    <mergeCell ref="B24:L24"/>
    <mergeCell ref="C27:J27"/>
    <mergeCell ref="B29:L29"/>
    <mergeCell ref="C31:J31"/>
    <mergeCell ref="B33:K33"/>
    <mergeCell ref="B34:K34"/>
    <mergeCell ref="B41:L4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2026-07-01T11:28:01Z</dcterms:created>
  <dc:creator>openpyxl</dc:creator>
  <dc:description/>
  <dc:language>en-US</dc:language>
  <cp:lastModifiedBy/>
  <dcterms:modified xsi:type="dcterms:W3CDTF">2026-07-01T11:28:01Z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
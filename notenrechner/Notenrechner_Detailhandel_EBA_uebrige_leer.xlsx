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nrech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<sst xmlns="http://schemas.openxmlformats.org/spreadsheetml/2006/main" count="33" uniqueCount="33">
  <si>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Notenrechner Detailhandelsassistent/in EBA – übrige Branchen</t>
  </si>
  <si>
    <t xml:space="preserve">Basis: BiVo DHA 18.05.2021 · ab QV 2024</t>
  </si>
  <si>
    <t xml:space="preserve">Tragen Sie die Noten in die grünen Felder ein – Fachnoten, Gesamtnote und Bestehen werden automatisch berechnet.</t>
  </si>
  <si>
    <t xml:space="preserve">Noten je Semester / Kompetenznachweis</t>
  </si>
  <si>
    <t xml:space="preserve">Qualifikationsbereich / Position</t>
  </si>
  <si>
    <t xml:space="preserve">Prüfungs-note</t>
  </si>
  <si>
    <t xml:space="preserve">Ø / Note</t>
  </si>
  <si>
    <t xml:space="preserve">Gew.</t>
  </si>
  <si>
    <t xml:space="preserve">Fachnote</t>
  </si>
  <si>
    <t xml:space="preserve">Praktische Arbeit   ·   Gewicht 30 %   ·   Fallnote (mind. 4.0)</t>
  </si>
  <si>
    <t xml:space="preserve">Kundenbeziehungen (HKB A) &amp; Produkte-/DL-Kenntnisse (HKB C)  ·  Prüfung · 70 %</t>
  </si>
  <si>
    <t xml:space="preserve">Bewirtschaften und Präsentieren (HKB B)  ·  Prüfung · 30 %</t>
  </si>
  <si>
    <t xml:space="preserve">Fachnote Praktische Arbeit</t>
  </si>
  <si>
    <t xml:space="preserve">Berufskenntnisse   ·   Gewicht 30 %</t>
  </si>
  <si>
    <t xml:space="preserve">Gestalten von Kundenbeziehungen (HKB A)  ·  Prüfung · 50 %</t>
  </si>
  <si>
    <t xml:space="preserve">Bewirtschaften und Präsentieren (HKB B)  ·  Prüfung · 25 %</t>
  </si>
  <si>
    <t xml:space="preserve">Interagieren im Betrieb und in der Branche (HKB D)  ·  Prüfung · 25 %</t>
  </si>
  <si>
    <t xml:space="preserve">Fachnote Berufskenntnisse</t>
  </si>
  <si>
    <t xml:space="preserve">Allgemeinbildung   ·   Gewicht 10 %</t>
  </si>
  <si>
    <t xml:space="preserve">Erfahrungsnote  ·  Ø Sem 1–3</t>
  </si>
  <si>
    <t xml:space="preserve">Vertiefungsarbeit  ·  Prüfung · 50 %</t>
  </si>
  <si>
    <t xml:space="preserve">Fachnote Allgemeinbildung</t>
  </si>
  <si>
    <t xml:space="preserve">Erfahrungsnote   ·   Gewicht 30 %</t>
  </si>
  <si>
    <t xml:space="preserve">Bildung in beruflicher Praxis  ·  25 %</t>
  </si>
  <si>
    <t xml:space="preserve">Unterricht in den Berufskenntnissen  ·  50 %</t>
  </si>
  <si>
    <t xml:space="preserve">Überbetriebliche Kurse (ÜK)  ·  25 %</t>
  </si>
  <si>
    <t xml:space="preserve">Fachnote Erfahrungsnote</t>
  </si>
  <si>
    <t xml:space="preserve">Gesamtnote</t>
  </si>
  <si>
    <t xml:space="preserve">Ergebnis</t>
  </si>
  <si>
    <t xml:space="preserve">Bestehenskriterien</t>
  </si>
  <si>
    <t xml:space="preserve">•  Die Gesamtnote beträgt mindestens 4.0</t>
  </si>
  <si>
    <t xml:space="preserve">•  Die Fachnote «Praktische Arbeit» beträgt mindestens 4.0</t>
  </si>
  <si>
    <t xml:space="preserve">HKV Aarau · realisiert mit Claude (Anthropic) · Design nach Jasmin Hürlimann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</si>
</sst>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E45"/>
      <name val="Aptos Narrow"/>
      <family val="0"/>
      <charset val="1"/>
    </font>
    <font>
      <sz val="10"/>
      <color rgb="FF5A6B70"/>
      <name val="Aptos Narrow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2"/>
      <color rgb="FFFFFFFF"/>
      <name val="Aptos Narrow"/>
      <family val="0"/>
      <charset val="1"/>
    </font>
    <font>
      <sz val="10"/>
      <color rgb="FF183E45"/>
      <name val="Aptos Narrow"/>
      <family val="0"/>
      <charset val="1"/>
    </font>
    <font>
      <b val="true"/>
      <sz val="10"/>
      <color rgb="FF183E45"/>
      <name val="Aptos Narrow"/>
      <family val="0"/>
      <charset val="1"/>
    </font>
    <font>
      <b val="true"/>
      <sz val="11"/>
      <color rgb="FF183E45"/>
      <name val="Aptos Narrow"/>
      <family val="0"/>
      <charset val="1"/>
    </font>
    <font>
      <b val="true"/>
      <sz val="12"/>
      <color rgb="FF183E45"/>
      <name val="Aptos Narrow"/>
      <family val="0"/>
      <charset val="1"/>
    </font>
    <font>
      <b val="true"/>
      <sz val="13"/>
      <color rgb="FFFFFFFF"/>
      <name val="Aptos Narrow"/>
      <family val="0"/>
      <charset val="1"/>
    </font>
    <font>
      <b val="true"/>
      <sz val="14"/>
      <color rgb="FF183E45"/>
      <name val="Aptos Narrow"/>
      <family val="0"/>
      <charset val="1"/>
    </font>
    <font>
      <sz val="8"/>
      <color rgb="FF9AA7AC"/>
      <name val="Aptos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83E45"/>
        <bgColor rgb="FF003366"/>
      </patternFill>
    </fill>
    <fill>
      <patternFill patternType="solid">
        <fgColor rgb="FFF4F6F7"/>
        <bgColor rgb="FFEAEFF1"/>
      </patternFill>
    </fill>
    <fill>
      <patternFill patternType="solid">
        <fgColor rgb="FFCFE7BE"/>
        <bgColor rgb="FFF3E9CC"/>
      </patternFill>
    </fill>
    <fill>
      <patternFill patternType="solid">
        <fgColor rgb="FFEAEFF1"/>
        <bgColor rgb="FFF4F6F7"/>
      </patternFill>
    </fill>
    <fill>
      <patternFill patternType="solid">
        <fgColor rgb="FFFFFFFF"/>
        <bgColor rgb="FFF4F6F7"/>
      </patternFill>
    </fill>
    <fill>
      <patternFill patternType="solid">
        <fgColor rgb="FFF3E9CC"/>
        <bgColor rgb="FFEAEF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4CDD0"/>
      </left>
      <right style="thin">
        <color rgb="FFC4CDD0"/>
      </right>
      <top style="thin">
        <color rgb="FFC4CDD0"/>
      </top>
      <bottom style="thin">
        <color rgb="FFC4CDD0"/>
      </bottom>
      <diagonal/>
    </border>
    <border diagonalUp="false" diagonalDown="false">
      <left/>
      <right style="thin">
        <color rgb="FFC4CDD0"/>
      </right>
      <top/>
      <bottom style="thin">
        <color rgb="FFC4C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DD0"/>
      <rgbColor rgb="FF808080"/>
      <rgbColor rgb="FF9999FF"/>
      <rgbColor rgb="FF993366"/>
      <rgbColor rgb="FFF4F6F7"/>
      <rgbColor rgb="FFEAEF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7BE"/>
      <rgbColor rgb="FFF3E9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0"/>
      <rgbColor rgb="FF9AA7AC"/>
      <rgbColor rgb="FF003366"/>
      <rgbColor rgb="FF339966"/>
      <rgbColor rgb="FF003300"/>
      <rgbColor rgb="FF333300"/>
      <rgbColor rgb="FF993300"/>
      <rgbColor rgb="FF993366"/>
      <rgbColor rgb="FF333399"/>
      <rgbColor rgb="FF183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72000</xdr:colOff>
      <xdr:row>0</xdr:row>
      <xdr:rowOff>456840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4800" y="0"/>
          <a:ext cx="331452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46"/>
    <col collapsed="false" customWidth="true" hidden="false" outlineLevel="0" max="8" min="3" style="0" width="5.4"/>
    <col collapsed="false" customWidth="true" hidden="false" outlineLevel="0" max="9" min="9" style="0" width="9"/>
    <col collapsed="false" customWidth="true" hidden="false" outlineLevel="0" max="10" min="10" style="0" width="7.5"/>
    <col collapsed="false" customWidth="true" hidden="false" outlineLevel="0" max="11" min="11" style="0" width="6.51"/>
    <col collapsed="false" customWidth="true" hidden="false" outlineLevel="0" max="12" min="12" style="0" width="9.51"/>
  </cols>
  <sheetData>
    <row r="1" customFormat="false" ht="54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C5" s="4" t="s">
        <v>3</v>
      </c>
      <c r="D5" s="4"/>
      <c r="E5" s="4"/>
      <c r="F5" s="4"/>
      <c r="G5" s="4"/>
      <c r="H5" s="4"/>
    </row>
    <row r="6" customFormat="false" ht="30" hidden="false" customHeight="true" outlineLevel="0" collapsed="false">
      <c r="B6" s="5" t="s">
        <v>4</v>
      </c>
      <c r="C6" s="6" t="n">
        <v>1</v>
      </c>
      <c r="D6" s="6" t="n">
        <v>2</v>
      </c>
      <c r="E6" s="6" t="n">
        <v>3</v>
      </c>
      <c r="F6" s="6" t="n">
        <v>4</v>
      </c>
      <c r="G6" s="6" t="n">
        <v>5</v>
      </c>
      <c r="H6" s="6" t="n">
        <v>6</v>
      </c>
      <c r="I6" s="5" t="s">
        <v>5</v>
      </c>
      <c r="J6" s="5" t="s">
        <v>6</v>
      </c>
      <c r="K6" s="5" t="s">
        <v>7</v>
      </c>
      <c r="L6" s="5" t="s">
        <v>8</v>
      </c>
    </row>
    <row r="7" customFormat="false" ht="21.75" hidden="false" customHeight="true" outlineLevel="0" collapsed="false">
      <c r="B7" s="7" t="s">
        <v>9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23.85" hidden="false" customHeight="false" outlineLevel="0" collapsed="false">
      <c r="B8" s="8" t="s">
        <v>10</v>
      </c>
      <c r="C8" s="9"/>
      <c r="D8" s="9"/>
      <c r="E8" s="9"/>
      <c r="F8" s="9"/>
      <c r="G8" s="9"/>
      <c r="H8" s="9"/>
      <c r="I8" s="10"/>
      <c r="J8" s="11" t="str">
        <f aca="false">IF(I8="","",I8)</f>
        <v/>
      </c>
      <c r="K8" s="12" t="n">
        <v>0.7</v>
      </c>
    </row>
    <row r="9" customFormat="false" ht="23.85" hidden="false" customHeight="false" outlineLevel="0" collapsed="false">
      <c r="B9" s="8" t="s">
        <v>11</v>
      </c>
      <c r="C9" s="9"/>
      <c r="D9" s="9"/>
      <c r="E9" s="9"/>
      <c r="F9" s="9"/>
      <c r="G9" s="9"/>
      <c r="H9" s="9"/>
      <c r="I9" s="10"/>
      <c r="J9" s="11" t="str">
        <f aca="false">IF(I9="","",I9)</f>
        <v/>
      </c>
      <c r="K9" s="12" t="n">
        <v>0.3</v>
      </c>
    </row>
    <row r="10" customFormat="false" ht="15" hidden="false" customHeight="false" outlineLevel="0" collapsed="false">
      <c r="B10" s="13" t="s">
        <v>12</v>
      </c>
      <c r="C10" s="14"/>
      <c r="D10" s="14"/>
      <c r="E10" s="14"/>
      <c r="F10" s="14"/>
      <c r="G10" s="14"/>
      <c r="H10" s="14"/>
      <c r="I10" s="14"/>
      <c r="J10" s="14"/>
      <c r="K10" s="15" t="n">
        <v>0.3</v>
      </c>
      <c r="L10" s="16" t="str">
        <f aca="false">IF(COUNT(J8,J9)&lt;2,"",ROUND(0.7*J8+0.3*J9,1))</f>
        <v/>
      </c>
    </row>
    <row r="12" customFormat="false" ht="21.75" hidden="false" customHeight="true" outlineLevel="0" collapsed="false">
      <c r="B12" s="7" t="s">
        <v>13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customFormat="false" ht="23.85" hidden="false" customHeight="false" outlineLevel="0" collapsed="false">
      <c r="B13" s="8" t="s">
        <v>14</v>
      </c>
      <c r="C13" s="9"/>
      <c r="D13" s="9"/>
      <c r="E13" s="9"/>
      <c r="F13" s="9"/>
      <c r="G13" s="9"/>
      <c r="H13" s="9"/>
      <c r="I13" s="10"/>
      <c r="J13" s="11" t="str">
        <f aca="false">IF(I13="","",I13)</f>
        <v/>
      </c>
      <c r="K13" s="12" t="n">
        <v>0.5</v>
      </c>
    </row>
    <row r="14" customFormat="false" ht="23.85" hidden="false" customHeight="false" outlineLevel="0" collapsed="false">
      <c r="B14" s="8" t="s">
        <v>15</v>
      </c>
      <c r="C14" s="9"/>
      <c r="D14" s="9"/>
      <c r="E14" s="9"/>
      <c r="F14" s="9"/>
      <c r="G14" s="9"/>
      <c r="H14" s="9"/>
      <c r="I14" s="10"/>
      <c r="J14" s="11" t="str">
        <f aca="false">IF(I14="","",I14)</f>
        <v/>
      </c>
      <c r="K14" s="12" t="n">
        <v>0.25</v>
      </c>
    </row>
    <row r="15" customFormat="false" ht="23.85" hidden="false" customHeight="false" outlineLevel="0" collapsed="false">
      <c r="B15" s="8" t="s">
        <v>16</v>
      </c>
      <c r="C15" s="9"/>
      <c r="D15" s="9"/>
      <c r="E15" s="9"/>
      <c r="F15" s="9"/>
      <c r="G15" s="9"/>
      <c r="H15" s="9"/>
      <c r="I15" s="10"/>
      <c r="J15" s="11" t="str">
        <f aca="false">IF(I15="","",I15)</f>
        <v/>
      </c>
      <c r="K15" s="12" t="n">
        <v>0.25</v>
      </c>
    </row>
    <row r="16" customFormat="false" ht="15" hidden="false" customHeight="false" outlineLevel="0" collapsed="false">
      <c r="B16" s="13" t="s">
        <v>17</v>
      </c>
      <c r="C16" s="14"/>
      <c r="D16" s="14"/>
      <c r="E16" s="14"/>
      <c r="F16" s="14"/>
      <c r="G16" s="14"/>
      <c r="H16" s="14"/>
      <c r="I16" s="14"/>
      <c r="J16" s="14"/>
      <c r="K16" s="15" t="n">
        <v>0.3</v>
      </c>
      <c r="L16" s="16" t="str">
        <f aca="false">IF(COUNT(J13,J14,J15)&lt;3,"",ROUND(0.5*J13+0.25*J14+0.25*J15,1))</f>
        <v/>
      </c>
    </row>
    <row r="18" customFormat="false" ht="21.75" hidden="false" customHeight="true" outlineLevel="0" collapsed="false">
      <c r="B18" s="7" t="s">
        <v>18</v>
      </c>
      <c r="C18" s="7"/>
      <c r="D18" s="7"/>
      <c r="E18" s="7"/>
      <c r="F18" s="7"/>
      <c r="G18" s="7"/>
      <c r="H18" s="7"/>
      <c r="I18" s="7"/>
      <c r="J18" s="7"/>
      <c r="K18" s="7"/>
      <c r="L18" s="7"/>
    </row>
    <row r="19" customFormat="false" ht="15" hidden="false" customHeight="false" outlineLevel="0" collapsed="false">
      <c r="B19" s="8" t="s">
        <v>19</v>
      </c>
      <c r="C19" s="10"/>
      <c r="D19" s="10"/>
      <c r="E19" s="10"/>
      <c r="F19" s="9"/>
      <c r="G19" s="9"/>
      <c r="H19" s="9"/>
      <c r="J19" s="11" t="str">
        <f aca="false">IF(COUNT(C19,D19,E19)=0,"",ROUND(AVERAGE(C19,D19,E19)*2,0)/2)</f>
        <v/>
      </c>
      <c r="K19" s="12" t="n">
        <v>0.5</v>
      </c>
    </row>
    <row r="20" customFormat="false" ht="15" hidden="false" customHeight="false" outlineLevel="0" collapsed="false">
      <c r="B20" s="8" t="s">
        <v>20</v>
      </c>
      <c r="C20" s="9"/>
      <c r="D20" s="9"/>
      <c r="E20" s="9"/>
      <c r="F20" s="9"/>
      <c r="G20" s="9"/>
      <c r="H20" s="9"/>
      <c r="I20" s="10"/>
      <c r="J20" s="11" t="str">
        <f aca="false">IF(I20="","",I20)</f>
        <v/>
      </c>
      <c r="K20" s="12" t="n">
        <v>0.5</v>
      </c>
    </row>
    <row r="21" customFormat="false" ht="15" hidden="false" customHeight="false" outlineLevel="0" collapsed="false">
      <c r="B21" s="13" t="s">
        <v>21</v>
      </c>
      <c r="C21" s="14"/>
      <c r="D21" s="14"/>
      <c r="E21" s="14"/>
      <c r="F21" s="14"/>
      <c r="G21" s="14"/>
      <c r="H21" s="14"/>
      <c r="I21" s="14"/>
      <c r="J21" s="14"/>
      <c r="K21" s="15" t="n">
        <v>0.1</v>
      </c>
      <c r="L21" s="16" t="str">
        <f aca="false">IF(COUNT(J19,J20)&lt;2,"",ROUND(0.5*J19+0.5*J20,1))</f>
        <v/>
      </c>
    </row>
    <row r="23" customFormat="false" ht="21.75" hidden="false" customHeight="true" outlineLevel="0" collapsed="false">
      <c r="B23" s="7" t="s">
        <v>22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customFormat="false" ht="15" hidden="false" customHeight="false" outlineLevel="0" collapsed="false">
      <c r="B24" s="8" t="s">
        <v>23</v>
      </c>
      <c r="C24" s="9"/>
      <c r="D24" s="10"/>
      <c r="E24" s="10"/>
      <c r="F24" s="9"/>
      <c r="G24" s="9"/>
      <c r="H24" s="9"/>
      <c r="J24" s="11" t="str">
        <f aca="false">IF(COUNT(D24,E24)=0,"",ROUND(AVERAGE(D24,E24)*2,0)/2)</f>
        <v/>
      </c>
      <c r="K24" s="12" t="n">
        <v>0.25</v>
      </c>
    </row>
    <row r="25" customFormat="false" ht="15" hidden="false" customHeight="false" outlineLevel="0" collapsed="false">
      <c r="B25" s="8" t="s">
        <v>24</v>
      </c>
      <c r="C25" s="10"/>
      <c r="D25" s="10"/>
      <c r="E25" s="10"/>
      <c r="F25" s="10"/>
      <c r="G25" s="9"/>
      <c r="H25" s="9"/>
      <c r="J25" s="11" t="str">
        <f aca="false">IF(COUNT(C25,D25,E25,F25)=0,"",ROUND(AVERAGE(C25,D25,E25,F25)*2,0)/2)</f>
        <v/>
      </c>
      <c r="K25" s="12" t="n">
        <v>0.5</v>
      </c>
    </row>
    <row r="26" customFormat="false" ht="15" hidden="false" customHeight="false" outlineLevel="0" collapsed="false">
      <c r="B26" s="8" t="s">
        <v>25</v>
      </c>
      <c r="C26" s="10"/>
      <c r="D26" s="10"/>
      <c r="E26" s="10"/>
      <c r="F26" s="10"/>
      <c r="G26" s="9"/>
      <c r="H26" s="9"/>
      <c r="J26" s="11" t="str">
        <f aca="false">IF(COUNT(C26,D26,E26,F26)=0,"",ROUND(AVERAGE(C26,D26,E26,F26)*2,0)/2)</f>
        <v/>
      </c>
      <c r="K26" s="12" t="n">
        <v>0.25</v>
      </c>
    </row>
    <row r="27" customFormat="false" ht="15" hidden="false" customHeight="false" outlineLevel="0" collapsed="false">
      <c r="B27" s="13" t="s">
        <v>26</v>
      </c>
      <c r="C27" s="14"/>
      <c r="D27" s="14"/>
      <c r="E27" s="14"/>
      <c r="F27" s="14"/>
      <c r="G27" s="14"/>
      <c r="H27" s="14"/>
      <c r="I27" s="14"/>
      <c r="J27" s="14"/>
      <c r="K27" s="15" t="n">
        <v>0.3</v>
      </c>
      <c r="L27" s="16" t="str">
        <f aca="false">IF(COUNT(J24,J25,J26)&lt;3,"",ROUND(0.25*J24+0.5*J25+0.25*J26,1))</f>
        <v/>
      </c>
    </row>
    <row r="29" customFormat="false" ht="17.35" hidden="false" customHeight="false" outlineLevel="0" collapsed="false">
      <c r="B29" s="17" t="s">
        <v>27</v>
      </c>
      <c r="C29" s="17"/>
      <c r="D29" s="17"/>
      <c r="E29" s="17"/>
      <c r="F29" s="17"/>
      <c r="G29" s="17"/>
      <c r="H29" s="17"/>
      <c r="I29" s="17"/>
      <c r="J29" s="17"/>
      <c r="K29" s="17"/>
      <c r="L29" s="18" t="str">
        <f aca="false">IF(COUNT(L10,L16,L21,L27)&lt;4,"",ROUND(K10*L10+K16*L16+K21*L21+K27*L27,1))</f>
        <v/>
      </c>
    </row>
    <row r="30" customFormat="false" ht="15" hidden="false" customHeight="false" outlineLevel="0" collapsed="false">
      <c r="B30" s="19" t="s">
        <v>28</v>
      </c>
      <c r="C30" s="19"/>
      <c r="D30" s="19"/>
      <c r="E30" s="19"/>
      <c r="F30" s="19"/>
      <c r="G30" s="19"/>
      <c r="H30" s="19"/>
      <c r="I30" s="19"/>
      <c r="J30" s="19"/>
      <c r="K30" s="19"/>
      <c r="L30" s="20" t="str">
        <f aca="false">IF(L29="","",IF(AND(L29&gt;=4,L10&gt;=4),"BESTANDEN","NICHT BESTANDEN"))</f>
        <v/>
      </c>
    </row>
    <row r="32" customFormat="false" ht="15" hidden="false" customHeight="false" outlineLevel="0" collapsed="false">
      <c r="B32" s="21" t="s">
        <v>29</v>
      </c>
    </row>
    <row r="33" customFormat="false" ht="15" hidden="false" customHeight="false" outlineLevel="0" collapsed="false">
      <c r="B33" s="22" t="s">
        <v>30</v>
      </c>
    </row>
    <row r="34" customFormat="false" ht="23.85" hidden="false" customHeight="false" outlineLevel="0" collapsed="false">
      <c r="B34" s="22" t="s">
        <v>31</v>
      </c>
    </row>
    <row r="36" customFormat="false" ht="15" hidden="false" customHeight="true" outlineLevel="0" collapsed="false">
      <c r="B36" s="23" t="s">
        <v>32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</row>
  </sheetData>
  <mergeCells count="15">
    <mergeCell ref="C1:L1"/>
    <mergeCell ref="C2:L2"/>
    <mergeCell ref="B4:L4"/>
    <mergeCell ref="C5:H5"/>
    <mergeCell ref="B7:L7"/>
    <mergeCell ref="C10:J10"/>
    <mergeCell ref="B12:L12"/>
    <mergeCell ref="C16:J16"/>
    <mergeCell ref="B18:L18"/>
    <mergeCell ref="C21:J21"/>
    <mergeCell ref="B23:L23"/>
    <mergeCell ref="C27:J27"/>
    <mergeCell ref="B29:K29"/>
    <mergeCell ref="B30:K30"/>
    <mergeCell ref="B36:L3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2026-07-01T11:28:01Z</dcterms:created>
  <dc:creator>openpyxl</dc:creator>
  <dc:description/>
  <dc:language>en-US</dc:language>
  <cp:lastModifiedBy/>
  <dcterms:modified xsi:type="dcterms:W3CDTF">2026-07-01T11:28:01Z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
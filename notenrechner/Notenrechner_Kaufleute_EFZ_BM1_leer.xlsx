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<sst xmlns="http://schemas.openxmlformats.org/spreadsheetml/2006/main" count="29" uniqueCount="29">
  <si>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Notenrechner Kauffrau/Kaufmann EFZ mit BM1</t>
  </si>
  <si>
    <t xml:space="preserve">Basis: BiVo Kaufleute 2023 · mit BM1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</si>
  <si>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</si>
  <si>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</si>
  <si>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</si>
  <si>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</si>
  <si>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</si>
  <si>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</si>
  <si>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</si>
  <si>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Erfahrungsnote   ·   Gewicht 40 %</t>
  </si>
  <si>
    <t xml:space="preserve">Bildung in beruflicher Praxis (Betrieb)  ·  Betriebliche Kompetenznachweise · 50 %</t>
  </si>
  <si>
    <t xml:space="preserve">Überbetrieblicher Kurs (üK)  ·  üK-Kompetenznachweise · 50 %</t>
  </si>
  <si>
    <t xml:space="preserve">Fachnote Erfahrungsnote</t>
  </si>
  <si>
    <t xml:space="preserve">Praktische Arbeit   ·   Gewicht 30 %   ·   Fallnote (mind. 4.0)</t>
  </si>
  <si>
    <t xml:space="preserve">Praktische Arbeit  ·  Fallnote · halbe/ganze Note</t>
  </si>
  <si>
    <t xml:space="preserve">Fachnote Praktische Arbeit</t>
  </si>
  <si>
    <t xml:space="preserve">Berufskenntnisse &amp; Allgemeinbildung   ·   Gewicht 30 %   ·   Fallnote (mind. 4.0)</t>
  </si>
  <si>
    <t xml:space="preserve">HKB B  ·  Fallarbeit mit Teilaufgaben · 25 %</t>
  </si>
  <si>
    <t xml:space="preserve">HKB C  ·  Handlungssimulationen (+Fremdsprache) · 25 %</t>
  </si>
  <si>
    <t xml:space="preserve">HKB D  ·  Rollenspiele und aktive Anwendung · 25 %</t>
  </si>
  <si>
    <t xml:space="preserve">HKB E  ·  Fallarbeit mit Teilaufgaben · 25 %</t>
  </si>
  <si>
    <t xml:space="preserve">Fachnote Berufskenntnisse &amp; Allgemeinbildung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</si>
  <si>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</si>
  <si>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</si>
  <si>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</si>
  <si>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</si>
  <si>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</si>
  <si>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•  Die Fachnote «Berufskenntnisse &amp; Allgemeinbildung»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</si>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</sst>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4F6F7"/>
        <bgColor rgb="FFEAEFF1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J8" s="10" t="str">
        <f aca="false">IF(COUNT(C8,D8,E8,F8,G8,H8)=0,"",ROUND(AVERAGE(C8,D8,E8,F8,G8,H8)*2,0)/2)</f>
        <v/>
      </c>
      <c r="K8" s="11" t="n">
        <v>0.5</v>
      </c>
    </row>
    <row r="9" customFormat="false" ht="23.85" hidden="false" customHeight="false" outlineLevel="0" collapsed="false">
      <c r="B9" s="8" t="s">
        <v>11</v>
      </c>
      <c r="C9" s="9"/>
      <c r="D9" s="9"/>
      <c r="E9" s="12"/>
      <c r="F9" s="12"/>
      <c r="G9" s="12"/>
      <c r="H9" s="12"/>
      <c r="J9" s="10" t="str">
        <f aca="false">IF(COUNT(C9,D9)=0,"",ROUND(AVERAGE(C9,D9)*2,0)/2)</f>
        <v/>
      </c>
      <c r="K9" s="11" t="n">
        <v>0.5</v>
      </c>
    </row>
    <row r="10" customFormat="false" ht="15" hidden="false" customHeight="false" outlineLevel="0" collapsed="false">
      <c r="B10" s="13" t="s">
        <v>12</v>
      </c>
      <c r="C10" s="14"/>
      <c r="D10" s="14"/>
      <c r="E10" s="14"/>
      <c r="F10" s="14"/>
      <c r="G10" s="14"/>
      <c r="H10" s="14"/>
      <c r="I10" s="14"/>
      <c r="J10" s="14"/>
      <c r="K10" s="15" t="n">
        <v>0.4</v>
      </c>
      <c r="L10" s="16" t="str">
        <f aca="false">IF(COUNT(J8,J9)&lt;2,"",ROUND(0.5*J8+0.5*J9,1))</f>
        <v/>
      </c>
    </row>
    <row r="12" customFormat="false" ht="21.75" hidden="false" customHeight="true" outlineLevel="0" collapsed="false">
      <c r="B12" s="7" t="s">
        <v>13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B13" s="8" t="s">
        <v>14</v>
      </c>
      <c r="C13" s="12"/>
      <c r="D13" s="12"/>
      <c r="E13" s="12"/>
      <c r="F13" s="12"/>
      <c r="G13" s="12"/>
      <c r="H13" s="12"/>
      <c r="I13" s="9"/>
      <c r="J13" s="10" t="str">
        <f aca="false">IF(I13="","",I13)</f>
        <v/>
      </c>
      <c r="K13" s="11" t="n">
        <v>1</v>
      </c>
    </row>
    <row r="14" customFormat="false" ht="15" hidden="false" customHeight="false" outlineLevel="0" collapsed="false">
      <c r="B14" s="13" t="s">
        <v>15</v>
      </c>
      <c r="C14" s="14"/>
      <c r="D14" s="14"/>
      <c r="E14" s="14"/>
      <c r="F14" s="14"/>
      <c r="G14" s="14"/>
      <c r="H14" s="14"/>
      <c r="I14" s="14"/>
      <c r="J14" s="14"/>
      <c r="K14" s="15" t="n">
        <v>0.3</v>
      </c>
      <c r="L14" s="16" t="str">
        <f aca="false">IF(COUNT(J13)&lt;1,"",ROUND(1*J13,1))</f>
        <v/>
      </c>
    </row>
    <row r="16" customFormat="false" ht="21.75" hidden="false" customHeight="true" outlineLevel="0" collapsed="false">
      <c r="B16" s="7" t="s">
        <v>16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" hidden="false" customHeight="false" outlineLevel="0" collapsed="false">
      <c r="B17" s="8" t="s">
        <v>17</v>
      </c>
      <c r="C17" s="12"/>
      <c r="D17" s="12"/>
      <c r="E17" s="12"/>
      <c r="F17" s="12"/>
      <c r="G17" s="12"/>
      <c r="H17" s="12"/>
      <c r="I17" s="9"/>
      <c r="J17" s="10" t="str">
        <f aca="false">IF(I17="","",I17)</f>
        <v/>
      </c>
      <c r="K17" s="11" t="n">
        <v>0.25</v>
      </c>
    </row>
    <row r="18" customFormat="false" ht="23.85" hidden="false" customHeight="false" outlineLevel="0" collapsed="false">
      <c r="B18" s="8" t="s">
        <v>18</v>
      </c>
      <c r="C18" s="12"/>
      <c r="D18" s="12"/>
      <c r="E18" s="12"/>
      <c r="F18" s="12"/>
      <c r="G18" s="12"/>
      <c r="H18" s="12"/>
      <c r="I18" s="9"/>
      <c r="J18" s="10" t="str">
        <f aca="false">IF(I18="","",I18)</f>
        <v/>
      </c>
      <c r="K18" s="11" t="n">
        <v>0.25</v>
      </c>
    </row>
    <row r="19" customFormat="false" ht="23.85" hidden="false" customHeight="false" outlineLevel="0" collapsed="false">
      <c r="B19" s="8" t="s">
        <v>19</v>
      </c>
      <c r="C19" s="12"/>
      <c r="D19" s="12"/>
      <c r="E19" s="12"/>
      <c r="F19" s="12"/>
      <c r="G19" s="12"/>
      <c r="H19" s="12"/>
      <c r="I19" s="9"/>
      <c r="J19" s="10" t="str">
        <f aca="false">IF(I19="","",I19)</f>
        <v/>
      </c>
      <c r="K19" s="11" t="n">
        <v>0.25</v>
      </c>
    </row>
    <row r="20" customFormat="false" ht="15" hidden="false" customHeight="false" outlineLevel="0" collapsed="false">
      <c r="B20" s="8" t="s">
        <v>20</v>
      </c>
      <c r="C20" s="12"/>
      <c r="D20" s="12"/>
      <c r="E20" s="12"/>
      <c r="F20" s="12"/>
      <c r="G20" s="12"/>
      <c r="H20" s="12"/>
      <c r="I20" s="9"/>
      <c r="J20" s="10" t="str">
        <f aca="false">IF(I20="","",I20)</f>
        <v/>
      </c>
      <c r="K20" s="11" t="n">
        <v>0.25</v>
      </c>
    </row>
    <row r="21" customFormat="false" ht="28.35" hidden="false" customHeight="false" outlineLevel="0" collapsed="false">
      <c r="B21" s="13" t="s">
        <v>21</v>
      </c>
      <c r="C21" s="14"/>
      <c r="D21" s="14"/>
      <c r="E21" s="14"/>
      <c r="F21" s="14"/>
      <c r="G21" s="14"/>
      <c r="H21" s="14"/>
      <c r="I21" s="14"/>
      <c r="J21" s="14"/>
      <c r="K21" s="15" t="n">
        <v>0.3</v>
      </c>
      <c r="L21" s="16" t="str">
        <f aca="false">IF(COUNT(J17,J18,J19,J20)&lt;4,"",ROUND(0.25*J17+0.25*J18+0.25*J19+0.25*J20,1))</f>
        <v/>
      </c>
    </row>
    <row r="23" customFormat="false" ht="17.35" hidden="false" customHeight="false" outlineLevel="0" collapsed="false">
      <c r="B23" s="17" t="s">
        <v>22</v>
      </c>
      <c r="C23" s="17"/>
      <c r="D23" s="17"/>
      <c r="E23" s="17"/>
      <c r="F23" s="17"/>
      <c r="G23" s="17"/>
      <c r="H23" s="17"/>
      <c r="I23" s="17"/>
      <c r="J23" s="17"/>
      <c r="K23" s="17"/>
      <c r="L23" s="18" t="str">
        <f aca="false">IF(COUNT(L10,L14,L21)&lt;3,"",ROUND(K10*L10+K14*L14+K21*L21,1))</f>
        <v/>
      </c>
    </row>
    <row r="24" customFormat="false" ht="15" hidden="false" customHeight="false" outlineLevel="0" collapsed="false">
      <c r="B24" s="19" t="s">
        <v>23</v>
      </c>
      <c r="C24" s="19"/>
      <c r="D24" s="19"/>
      <c r="E24" s="19"/>
      <c r="F24" s="19"/>
      <c r="G24" s="19"/>
      <c r="H24" s="19"/>
      <c r="I24" s="19"/>
      <c r="J24" s="19"/>
      <c r="K24" s="19"/>
      <c r="L24" s="20" t="str">
        <f aca="false">IF(L23="","",IF(AND(L23&gt;=4,L14&gt;=4,L21&gt;=4),"BESTANDEN","NICHT BESTANDEN"))</f>
        <v/>
      </c>
    </row>
    <row r="26" customFormat="false" ht="15" hidden="false" customHeight="false" outlineLevel="0" collapsed="false">
      <c r="B26" s="21" t="s">
        <v>24</v>
      </c>
    </row>
    <row r="27" customFormat="false" ht="15" hidden="false" customHeight="false" outlineLevel="0" collapsed="false">
      <c r="B27" s="22" t="s">
        <v>25</v>
      </c>
    </row>
    <row r="28" customFormat="false" ht="23.85" hidden="false" customHeight="false" outlineLevel="0" collapsed="false">
      <c r="B28" s="22" t="s">
        <v>26</v>
      </c>
    </row>
    <row r="29" customFormat="false" ht="23.85" hidden="false" customHeight="false" outlineLevel="0" collapsed="false">
      <c r="B29" s="22" t="s">
        <v>27</v>
      </c>
    </row>
    <row r="31" customFormat="false" ht="15" hidden="false" customHeight="true" outlineLevel="0" collapsed="false">
      <c r="B31" s="23" t="s">
        <v>28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</row>
  </sheetData>
  <mergeCells count="13">
    <mergeCell ref="C1:L1"/>
    <mergeCell ref="C2:L2"/>
    <mergeCell ref="B4:L4"/>
    <mergeCell ref="C5:H5"/>
    <mergeCell ref="B7:L7"/>
    <mergeCell ref="C10:J10"/>
    <mergeCell ref="B12:L12"/>
    <mergeCell ref="C14:J14"/>
    <mergeCell ref="B16:L16"/>
    <mergeCell ref="C21:J21"/>
    <mergeCell ref="B23:K23"/>
    <mergeCell ref="B24:K24"/>
    <mergeCell ref="B31:L3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
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<sst xmlns="http://schemas.openxmlformats.org/spreadsheetml/2006/main" count="30" uniqueCount="30">
  <si>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Notenrechner Büroassistent/in EBA</t>
  </si>
  <si>
    <t xml:space="preserve">Basis: BiVo Büroassistenz 2023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</si>
  <si>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</si>
  <si>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</si>
  <si>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</si>
  <si>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</si>
  <si>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</si>
  <si>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</si>
  <si>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</si>
  <si>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Erfahrungsnote   ·   Gewicht 40 %</t>
  </si>
  <si>
    <t xml:space="preserve">Bildung in beruflicher Praxis (Betrieb)  ·  Betriebliche Kompetenznachweise · 25 %</t>
  </si>
  <si>
    <t xml:space="preserve">Überbetrieblicher Kurs (üK)  ·  üK-Kompetenznachweise · 25 %</t>
  </si>
  <si>
    <t xml:space="preserve">Berufskenntnisse &amp; Allgemeinbildung (Schule)  ·  Semesterzeugnisnoten · 50 %</t>
  </si>
  <si>
    <t xml:space="preserve">Fachnote Erfahrungsnote</t>
  </si>
  <si>
    <t xml:space="preserve">Praktische Arbeit   ·   Gewicht 30 %   ·   Fallnote (mind. 4.0)</t>
  </si>
  <si>
    <t xml:space="preserve">HKB a  ·  Postkorbübung · 25 %</t>
  </si>
  <si>
    <t xml:space="preserve">HKB b  ·  Rollenspiel · 25 %</t>
  </si>
  <si>
    <t xml:space="preserve">HKB c–e  ·  Handlungssituationen beschreiben/begründen · 50 %</t>
  </si>
  <si>
    <t xml:space="preserve">Fachnote Praktische Arbeit</t>
  </si>
  <si>
    <t xml:space="preserve">Berufskenntnisse &amp; Allgemeinbildung   ·   Gewicht 30 %</t>
  </si>
  <si>
    <t xml:space="preserve">HKB a  ·  Präsentation und aktive Anwendung · 25 %</t>
  </si>
  <si>
    <t xml:space="preserve">HKB b  ·  Rollenspiel und Critical Incidents · 25 %</t>
  </si>
  <si>
    <t xml:space="preserve">HKB c–e  ·  Drei Handlungssimulationen (inkl. Fremdsprache) · 50 %</t>
  </si>
  <si>
    <t xml:space="preserve">Fachnote Berufskenntnisse &amp; Allgemeinbildung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</si>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</sst>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CFE7BE"/>
        <bgColor rgb="FFF3E9CC"/>
      </patternFill>
    </fill>
    <fill>
      <patternFill patternType="solid">
        <fgColor rgb="FFF4F6F7"/>
        <bgColor rgb="FFEAEFF1"/>
      </patternFill>
    </fill>
    <fill>
      <patternFill patternType="solid">
        <fgColor rgb="FFEAEFF1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10"/>
      <c r="H8" s="10"/>
      <c r="J8" s="11" t="str">
        <f aca="false">IF(COUNT(C8,D8,E8,F8)=0,"",ROUND(AVERAGE(C8,D8,E8,F8)*2,0)/2)</f>
        <v/>
      </c>
      <c r="K8" s="12" t="n">
        <v>0.25</v>
      </c>
    </row>
    <row r="9" customFormat="false" ht="23.85" hidden="false" customHeight="false" outlineLevel="0" collapsed="false">
      <c r="B9" s="8" t="s">
        <v>11</v>
      </c>
      <c r="C9" s="9"/>
      <c r="D9" s="9"/>
      <c r="E9" s="10"/>
      <c r="F9" s="10"/>
      <c r="G9" s="10"/>
      <c r="H9" s="10"/>
      <c r="J9" s="11" t="str">
        <f aca="false">IF(COUNT(C9,D9)=0,"",ROUND(AVERAGE(C9,D9)*2,0)/2)</f>
        <v/>
      </c>
      <c r="K9" s="12" t="n">
        <v>0.25</v>
      </c>
    </row>
    <row r="10" customFormat="false" ht="23.85" hidden="false" customHeight="false" outlineLevel="0" collapsed="false">
      <c r="B10" s="8" t="s">
        <v>12</v>
      </c>
      <c r="C10" s="9"/>
      <c r="D10" s="9"/>
      <c r="E10" s="9"/>
      <c r="F10" s="9"/>
      <c r="G10" s="10"/>
      <c r="H10" s="10"/>
      <c r="J10" s="11" t="str">
        <f aca="false">IF(COUNT(C10,D10,E10,F10)=0,"",ROUND(AVERAGE(C10,D10,E10,F10)*2,0)/2)</f>
        <v/>
      </c>
      <c r="K10" s="12" t="n">
        <v>0.5</v>
      </c>
    </row>
    <row r="11" customFormat="false" ht="15" hidden="false" customHeight="false" outlineLevel="0" collapsed="false">
      <c r="B11" s="13" t="s">
        <v>13</v>
      </c>
      <c r="C11" s="14"/>
      <c r="D11" s="14"/>
      <c r="E11" s="14"/>
      <c r="F11" s="14"/>
      <c r="G11" s="14"/>
      <c r="H11" s="14"/>
      <c r="I11" s="14"/>
      <c r="J11" s="14"/>
      <c r="K11" s="15" t="n">
        <v>0.4</v>
      </c>
      <c r="L11" s="16" t="str">
        <f aca="false">IF(COUNT(J8,J9,J10)&lt;3,"",ROUND(0.25*J8+0.25*J9+0.5*J10,1))</f>
        <v/>
      </c>
    </row>
    <row r="13" customFormat="false" ht="21.75" hidden="false" customHeight="true" outlineLevel="0" collapsed="false">
      <c r="B13" s="7" t="s">
        <v>14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B14" s="8" t="s">
        <v>15</v>
      </c>
      <c r="C14" s="10"/>
      <c r="D14" s="10"/>
      <c r="E14" s="10"/>
      <c r="F14" s="10"/>
      <c r="G14" s="10"/>
      <c r="H14" s="10"/>
      <c r="I14" s="9"/>
      <c r="J14" s="11" t="str">
        <f aca="false">IF(I14="","",I14)</f>
        <v/>
      </c>
      <c r="K14" s="12" t="n">
        <v>0.25</v>
      </c>
    </row>
    <row r="15" customFormat="false" ht="15" hidden="false" customHeight="false" outlineLevel="0" collapsed="false">
      <c r="B15" s="8" t="s">
        <v>16</v>
      </c>
      <c r="C15" s="10"/>
      <c r="D15" s="10"/>
      <c r="E15" s="10"/>
      <c r="F15" s="10"/>
      <c r="G15" s="10"/>
      <c r="H15" s="10"/>
      <c r="I15" s="9"/>
      <c r="J15" s="11" t="str">
        <f aca="false">IF(I15="","",I15)</f>
        <v/>
      </c>
      <c r="K15" s="12" t="n">
        <v>0.25</v>
      </c>
    </row>
    <row r="16" customFormat="false" ht="23.85" hidden="false" customHeight="false" outlineLevel="0" collapsed="false">
      <c r="B16" s="8" t="s">
        <v>17</v>
      </c>
      <c r="C16" s="10"/>
      <c r="D16" s="10"/>
      <c r="E16" s="10"/>
      <c r="F16" s="10"/>
      <c r="G16" s="10"/>
      <c r="H16" s="10"/>
      <c r="I16" s="9"/>
      <c r="J16" s="11" t="str">
        <f aca="false">IF(I16="","",I16)</f>
        <v/>
      </c>
      <c r="K16" s="12" t="n">
        <v>0.5</v>
      </c>
    </row>
    <row r="17" customFormat="false" ht="15" hidden="false" customHeight="false" outlineLevel="0" collapsed="false">
      <c r="B17" s="13" t="s">
        <v>18</v>
      </c>
      <c r="C17" s="14"/>
      <c r="D17" s="14"/>
      <c r="E17" s="14"/>
      <c r="F17" s="14"/>
      <c r="G17" s="14"/>
      <c r="H17" s="14"/>
      <c r="I17" s="14"/>
      <c r="J17" s="14"/>
      <c r="K17" s="15" t="n">
        <v>0.3</v>
      </c>
      <c r="L17" s="16" t="str">
        <f aca="false">IF(COUNT(J14,J15,J16)&lt;3,"",ROUND(0.25*J14+0.25*J15+0.5*J16,1))</f>
        <v/>
      </c>
    </row>
    <row r="19" customFormat="false" ht="21.75" hidden="false" customHeight="true" outlineLevel="0" collapsed="false">
      <c r="B19" s="7" t="s">
        <v>19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23.85" hidden="false" customHeight="false" outlineLevel="0" collapsed="false">
      <c r="B20" s="8" t="s">
        <v>20</v>
      </c>
      <c r="C20" s="10"/>
      <c r="D20" s="10"/>
      <c r="E20" s="10"/>
      <c r="F20" s="10"/>
      <c r="G20" s="10"/>
      <c r="H20" s="10"/>
      <c r="I20" s="9"/>
      <c r="J20" s="11" t="str">
        <f aca="false">IF(I20="","",I20)</f>
        <v/>
      </c>
      <c r="K20" s="12" t="n">
        <v>0.25</v>
      </c>
    </row>
    <row r="21" customFormat="false" ht="15" hidden="false" customHeight="false" outlineLevel="0" collapsed="false">
      <c r="B21" s="8" t="s">
        <v>21</v>
      </c>
      <c r="C21" s="10"/>
      <c r="D21" s="10"/>
      <c r="E21" s="10"/>
      <c r="F21" s="10"/>
      <c r="G21" s="10"/>
      <c r="H21" s="10"/>
      <c r="I21" s="9"/>
      <c r="J21" s="11" t="str">
        <f aca="false">IF(I21="","",I21)</f>
        <v/>
      </c>
      <c r="K21" s="12" t="n">
        <v>0.25</v>
      </c>
    </row>
    <row r="22" customFormat="false" ht="23.85" hidden="false" customHeight="false" outlineLevel="0" collapsed="false">
      <c r="B22" s="8" t="s">
        <v>22</v>
      </c>
      <c r="C22" s="10"/>
      <c r="D22" s="10"/>
      <c r="E22" s="10"/>
      <c r="F22" s="10"/>
      <c r="G22" s="10"/>
      <c r="H22" s="10"/>
      <c r="I22" s="9"/>
      <c r="J22" s="11" t="str">
        <f aca="false">IF(I22="","",I22)</f>
        <v/>
      </c>
      <c r="K22" s="12" t="n">
        <v>0.5</v>
      </c>
    </row>
    <row r="23" customFormat="false" ht="28.35" hidden="false" customHeight="false" outlineLevel="0" collapsed="false">
      <c r="B23" s="13" t="s">
        <v>23</v>
      </c>
      <c r="C23" s="14"/>
      <c r="D23" s="14"/>
      <c r="E23" s="14"/>
      <c r="F23" s="14"/>
      <c r="G23" s="14"/>
      <c r="H23" s="14"/>
      <c r="I23" s="14"/>
      <c r="J23" s="14"/>
      <c r="K23" s="15" t="n">
        <v>0.3</v>
      </c>
      <c r="L23" s="16" t="str">
        <f aca="false">IF(COUNT(J20,J21,J22)&lt;3,"",ROUND(0.25*J20+0.25*J21+0.5*J22,1))</f>
        <v/>
      </c>
    </row>
    <row r="25" customFormat="false" ht="17.35" hidden="false" customHeight="false" outlineLevel="0" collapsed="false">
      <c r="B25" s="17" t="s">
        <v>24</v>
      </c>
      <c r="C25" s="17"/>
      <c r="D25" s="17"/>
      <c r="E25" s="17"/>
      <c r="F25" s="17"/>
      <c r="G25" s="17"/>
      <c r="H25" s="17"/>
      <c r="I25" s="17"/>
      <c r="J25" s="17"/>
      <c r="K25" s="17"/>
      <c r="L25" s="18" t="str">
        <f aca="false">IF(COUNT(L11,L17,L23)&lt;3,"",ROUND(K11*L11+K17*L17+K23*L23,1))</f>
        <v/>
      </c>
    </row>
    <row r="26" customFormat="false" ht="15" hidden="false" customHeight="false" outlineLevel="0" collapsed="false">
      <c r="B26" s="19" t="s">
        <v>25</v>
      </c>
      <c r="C26" s="19"/>
      <c r="D26" s="19"/>
      <c r="E26" s="19"/>
      <c r="F26" s="19"/>
      <c r="G26" s="19"/>
      <c r="H26" s="19"/>
      <c r="I26" s="19"/>
      <c r="J26" s="19"/>
      <c r="K26" s="19"/>
      <c r="L26" s="20" t="str">
        <f aca="false">IF(L25="","",IF(AND(L25&gt;=4,L17&gt;=4),"BESTANDEN","NICHT BESTANDEN"))</f>
        <v/>
      </c>
    </row>
    <row r="28" customFormat="false" ht="15" hidden="false" customHeight="false" outlineLevel="0" collapsed="false">
      <c r="B28" s="21" t="s">
        <v>26</v>
      </c>
    </row>
    <row r="29" customFormat="false" ht="15" hidden="false" customHeight="false" outlineLevel="0" collapsed="false">
      <c r="B29" s="22" t="s">
        <v>27</v>
      </c>
    </row>
    <row r="30" customFormat="false" ht="23.85" hidden="false" customHeight="false" outlineLevel="0" collapsed="false">
      <c r="B30" s="22" t="s">
        <v>28</v>
      </c>
    </row>
    <row r="32" customFormat="false" ht="15" hidden="false" customHeight="true" outlineLevel="0" collapsed="false">
      <c r="B32" s="23" t="s">
        <v>29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</row>
  </sheetData>
  <mergeCells count="13">
    <mergeCell ref="C1:L1"/>
    <mergeCell ref="C2:L2"/>
    <mergeCell ref="B4:L4"/>
    <mergeCell ref="C5:H5"/>
    <mergeCell ref="B7:L7"/>
    <mergeCell ref="C11:J11"/>
    <mergeCell ref="B13:L13"/>
    <mergeCell ref="C17:J17"/>
    <mergeCell ref="B19:L19"/>
    <mergeCell ref="C23:J23"/>
    <mergeCell ref="B25:K25"/>
    <mergeCell ref="B26:K26"/>
    <mergeCell ref="B32:L3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